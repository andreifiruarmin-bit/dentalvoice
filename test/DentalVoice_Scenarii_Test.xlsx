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DentalVoice\"/>
    </mc:Choice>
  </mc:AlternateContent>
  <xr:revisionPtr revIDLastSave="0" documentId="13_ncr:1_{1CD6757A-0E8E-4BA4-88D3-A7D6C24FB545}" xr6:coauthVersionLast="47" xr6:coauthVersionMax="47" xr10:uidLastSave="{00000000-0000-0000-0000-000000000000}"/>
  <bookViews>
    <workbookView xWindow="-120" yWindow="-120" windowWidth="20730" windowHeight="11160" xr2:uid="{00000000-000D-0000-FFFF-FFFF00000000}"/>
  </bookViews>
  <sheets>
    <sheet name="Scenarii de Test" sheetId="1" r:id="rId1"/>
    <sheet name="Sumar" sheetId="2" r:id="rId2"/>
  </sheets>
  <calcPr calcId="191029"/>
</workbook>
</file>

<file path=xl/calcChain.xml><?xml version="1.0" encoding="utf-8"?>
<calcChain xmlns="http://schemas.openxmlformats.org/spreadsheetml/2006/main">
  <c r="B6" i="2" l="1"/>
  <c r="B5" i="2"/>
  <c r="B4" i="2"/>
</calcChain>
</file>

<file path=xl/sharedStrings.xml><?xml version="1.0" encoding="utf-8"?>
<sst xmlns="http://schemas.openxmlformats.org/spreadsheetml/2006/main" count="236" uniqueCount="167">
  <si>
    <t>DentalVoice — Plan de Testare  |  Versiune 1.0  |  Canale: WebBot · WhatsApp</t>
  </si>
  <si>
    <t>#</t>
  </si>
  <si>
    <t>Scenariu / Descriere test</t>
  </si>
  <si>
    <t>Scop / Ce verificăm</t>
  </si>
  <si>
    <t>Rezultat</t>
  </si>
  <si>
    <t>Comentarii (ce nu a funcționat)</t>
  </si>
  <si>
    <t>🌐  WEBBOT — Flux de programare</t>
  </si>
  <si>
    <t>Programare completă cu 'Oricare medic disponibil', serviciu standard, dată validă, oră liberă, confirmare SMS, email introdus</t>
  </si>
  <si>
    <t>Verifică end-to-end: slot ales corect, OTP primit, eveniment creat în Google Calendar, email de confirmare trimis</t>
  </si>
  <si>
    <t>⏳ Neptestat</t>
  </si>
  <si>
    <t>Programare cu doctor ales specific (nu oricare), slot liber în calendarul său</t>
  </si>
  <si>
    <t>Verifică că programarea ajunge la medicul corect, nu la alt doctor</t>
  </si>
  <si>
    <t>Pacient încearcă să rezerve un slot ocupat de o altă programare existentă (conflict direct)</t>
  </si>
  <si>
    <t>Verifică că slotul NU apare ca disponibil în picker și nu se poate crea programarea</t>
  </si>
  <si>
    <t>Pacient încearcă să rezerve un slot în care doctorul are concediu/eveniment manual toată ziua</t>
  </si>
  <si>
    <t>Verifică că evenimentul all-day blochează toate sloturile zilei pentru acel doctor</t>
  </si>
  <si>
    <t>Toți doctorii clinicii au câte un eveniment în același slot orar — nici unul nu e liber</t>
  </si>
  <si>
    <t>Verifică că slotul dispare complet din picker (nu e disponibil la niciun doctor)</t>
  </si>
  <si>
    <t>Un doctor e în concediu, al doilea e ocupat la ora X, al treilea e liber la ora X</t>
  </si>
  <si>
    <t>Verifică că slotul apare disponibil (cel puțin un doctor liber)</t>
  </si>
  <si>
    <t>Pacient încearcă data de ieri sau o dată din trecut</t>
  </si>
  <si>
    <t>Verifică că botul respinge data și cere o dată viitoare</t>
  </si>
  <si>
    <t>Pacient alege o dată de weekend (sâmbătă sau duminică)</t>
  </si>
  <si>
    <t>Verifică că botul informează că nu se programează în weekend</t>
  </si>
  <si>
    <t>Pacient introduce un număr de telefon invalid (prea scurt, litere, gol)</t>
  </si>
  <si>
    <t>Verifică că botul cere reintroducerea numărului și nu continuă cu date invalide</t>
  </si>
  <si>
    <t>Pacient introduce o adresă de email invalidă (fără @, fără domeniu)</t>
  </si>
  <si>
    <t>Verifică că botul detectează emailul invalid sau că serverul de email returnează eroare gracefully</t>
  </si>
  <si>
    <t>Pacient sare peste pasul de email (apasă Skip/Sari peste)</t>
  </si>
  <si>
    <t>Verifică că programarea se finalizează fără email și evenimentul e creat în calendar</t>
  </si>
  <si>
    <t>Pacient depășește limita de 2 programări active simultane</t>
  </si>
  <si>
    <t>Verifică că botul blochează a 3-a programare cu mesaj clar în română</t>
  </si>
  <si>
    <t>Numărul de test (0700000000) face mai mult de 2 programări</t>
  </si>
  <si>
    <t>Verifică că bypass-ul de test funcționează și numărul de test nu e blocat</t>
  </si>
  <si>
    <t>Pacient încearcă să facă programare pentru o oră în afara programului clinicii (ex: 22:00)</t>
  </si>
  <si>
    <t>Verifică că ora nu apare în picker și nu poate fi forțată manual</t>
  </si>
  <si>
    <t>Codul OTP introdus este greșit (o cifră diferită)</t>
  </si>
  <si>
    <t>Verifică că botul respinge codul și cere reintroducerea, fără să finalizeze programarea</t>
  </si>
  <si>
    <t>Codul OTP expiră (aștepți mai mult de 10 minute înainte să îl introduci)</t>
  </si>
  <si>
    <t>Verifică că botul informează că OTP-ul a expirat și cere restart</t>
  </si>
  <si>
    <t>Race condition: 2 utilizatori încearcă să rezerve același slot în același timp</t>
  </si>
  <si>
    <t>Verifică că optimistic lock (Supabase UNIQUE) permite doar primul și al doilea primește mesaj de conflict</t>
  </si>
  <si>
    <t>Pacient anulează programarea prin butonul de cancel din webbot, în cadrul flowului activ</t>
  </si>
  <si>
    <t>Verifică că programarea nu se creează și sesiunea revine la idle</t>
  </si>
  <si>
    <t>Pacient completează flowul dar închide browserul înainte de confirmare (abandon flow)</t>
  </si>
  <si>
    <t>Verifică că nu rămân programări Pending blocate (cleanup după PENDING_STALE_MINUTES)</t>
  </si>
  <si>
    <t>Serviciu cu durată mai mare (ex: 60 min) — slot de 10:00 blochează și 10:30</t>
  </si>
  <si>
    <t>Verifică că slotul 10:30 devine indisponibil când serviciul de 60 min e rezervat la 10:00</t>
  </si>
  <si>
    <t>💬  WHATSAPP — Flux de programare</t>
  </si>
  <si>
    <t>Programare completă pe WhatsApp: serviciu → doctor → dată → oră → nume complet → confirmare telefon → OTP simulat → email → confirmare</t>
  </si>
  <si>
    <t>Verifică end-to-end complet pe canalul WhatsApp, eveniment creat în Google Calendar</t>
  </si>
  <si>
    <t>Pacient WhatsApp confirmă că numărul său (sender) e corect și continuă cu acel număr</t>
  </si>
  <si>
    <t>Verifică că numărul WhatsApp sender apare corect (0722xxxxxx, nu 7xxxxxxxx) în evenimentul din calendar</t>
  </si>
  <si>
    <t>Pacient WhatsApp introduce manual un alt număr de telefon (diferit de sender)</t>
  </si>
  <si>
    <t>Verifică că numărul introdus manual apare corect în calendar și OTP e trimis pe numărul nou</t>
  </si>
  <si>
    <t>Pacient WhatsApp încearcă să rezerve slot ocupat de eveniment manual în calendar</t>
  </si>
  <si>
    <t>Verifică că slotul nu apare ca disponibil în lista de ore afișată de bot</t>
  </si>
  <si>
    <t>Pacient WhatsApp încearcă slot unde toți doctorii sunt ocupați</t>
  </si>
  <si>
    <t>Verifică că slotul nu e oferit ca opțiune</t>
  </si>
  <si>
    <t>Pacient WhatsApp scrie 'meniu' în mijlocul flowului de programare</t>
  </si>
  <si>
    <t>Verifică că sesiunea se resetează la idle și apare meniul principal</t>
  </si>
  <si>
    <t>Pacient WhatsApp scrie 'operator' sau 'receptie' în orice moment al conversației</t>
  </si>
  <si>
    <t>Verifică că botul afișează numărul de telefon al clinicii cu buton de apel</t>
  </si>
  <si>
    <t>Pacient WhatsApp scrie 'anulare' în mijlocul unui flow activ de programare</t>
  </si>
  <si>
    <t>Verifică că flowul se oprește și se inițiază procesul de anulare, nu se creează programarea</t>
  </si>
  <si>
    <t>Pacient WhatsApp introduce o dată inexistentă sau ambiguă (ex: '30 februarie', 'poimâine')</t>
  </si>
  <si>
    <t>Verifică că botul cere clarificare sau afișează butoanele cu datele sugerate</t>
  </si>
  <si>
    <t>Pacient WhatsApp nu răspunde la nicio întrebare timp de peste 30 minute (timeout sesiune)</t>
  </si>
  <si>
    <t>Verifică că sesiunea expiră și la reluare botul pornește de la meniu, cu mesaj de expirare</t>
  </si>
  <si>
    <t>Pacient WhatsApp introduce ora ca număr din lista afișată (ex: scrie '2' pentru al doilea slot)</t>
  </si>
  <si>
    <t>Verifică că botul interpretează corect numărul și selectează slotul corespunzător</t>
  </si>
  <si>
    <t>Pacient WhatsApp scrie ora direct în format HH:mm (ex: '10:00')</t>
  </si>
  <si>
    <t>Verifică că botul acceptă și ora scrisă direct, nu doar prin buton</t>
  </si>
  <si>
    <t>Pacient WhatsApp alege data scrisă în format românesc (ex: '14 aprilie')</t>
  </si>
  <si>
    <t>Verifică că parserul de date românești funcționează corect</t>
  </si>
  <si>
    <t>Pacient WhatsApp încearcă dată fără sloturi disponibile — botul sugerează ziua următoare</t>
  </si>
  <si>
    <t>Verifică că botul găsește automat următoarea dată disponibilă în max 7 zile și o propune</t>
  </si>
  <si>
    <t>Pacient WhatsApp introduce un nume cu o singură vorbă (ex: 'Maria')</t>
  </si>
  <si>
    <t>Verifică că botul cere și prenumele/numele complet (minim 2 cuvinte)</t>
  </si>
  <si>
    <t>Pacient WhatsApp introduce un nume cu diacritice românești (ex: 'Ștefan Mărginean')</t>
  </si>
  <si>
    <t>Verifică că diacriticele sunt salvate corect în Supabase și în evenimentul din Google Calendar</t>
  </si>
  <si>
    <t>🗑️  ANULARE PROGRAMARE</t>
  </si>
  <si>
    <t>Pacient anulează programarea proprie de pe același număr WhatsApp cu care a programat</t>
  </si>
  <si>
    <t>Verifică că programarea e ștearsă din Supabase și evenimentul din Google Calendar e eliminat</t>
  </si>
  <si>
    <t>Pacient încearcă să anuleze de pe un număr WhatsApp diferit (cross-device) — numărul programării găsit</t>
  </si>
  <si>
    <t>Verifică flow-ul OTP cross-device: bot cere numărul programării → trimite OTP simulat → verifică codul → permite anulare</t>
  </si>
  <si>
    <t>Pacient încearcă anulare cross-device cu număr de telefon care nu are nicio programare activă</t>
  </si>
  <si>
    <t>Verifică că botul informează că nu a găsit programare pe acel număr și revine la meniu</t>
  </si>
  <si>
    <t>Pacient introduce cod OTP greșit la anulare cross-device (3 încercări)</t>
  </si>
  <si>
    <t>Verifică că după numărul maxim de încercări botul blochează și revine la meniu</t>
  </si>
  <si>
    <t>Pacient încearcă să anuleze o programare din trecut (data a trecut deja)</t>
  </si>
  <si>
    <t>Verifică că botul nu permite anularea unor programări arhivate/trecute</t>
  </si>
  <si>
    <t>Pacient spune 'Nu, păstrez' la confirmarea anulării</t>
  </si>
  <si>
    <t>Verifică că programarea NU e ștearsă și pacientul revine la meniu</t>
  </si>
  <si>
    <t>📅  CALENDAR &amp; SINCRONIZARE GOOGLE</t>
  </si>
  <si>
    <t>Programare creată prin WebBot apare în Google Calendar cu toate detaliile (nume, telefon, serviciu, medic)</t>
  </si>
  <si>
    <t>Verifică că titlul și descrierea evenimentului din Google Calendar sunt complete și corecte</t>
  </si>
  <si>
    <t>Programare creată prin WhatsApp apare în Google Calendar cu număr de telefon în format 07xxxxxxxx (nu 7xxxxxxxx)</t>
  </si>
  <si>
    <t>Verifică fix-ul pentru formatul numărului de telefon în evenimentul din calendar</t>
  </si>
  <si>
    <t>Eveniment manual creat în Google Calendar (concediu all-day) blochează toate sloturile acelei zile pentru doctorul respectiv</t>
  </si>
  <si>
    <t>Verifică că evenimentele all-day sunt tratate corect și blochează ziua întreagă</t>
  </si>
  <si>
    <t>Eveniment manual creat pe un interval (ex: 10:00-12:00) blochează exact sloturile acoperite</t>
  </si>
  <si>
    <t>Verifică că blocarea e precisă: 10:00 și 11:00 blocate, 09:00 și 12:00 libere</t>
  </si>
  <si>
    <t>Cron job de arhivare rulează și mută programările din ziua anterioară în appointment_history</t>
  </si>
  <si>
    <t>Verifică că programările trecute dispar din appointments și apar în appointment_history</t>
  </si>
  <si>
    <t>După arhivare, un pacient cu 2 programări onorate poate face din nou programări noi</t>
  </si>
  <si>
    <t>Verifică că limita de MAX_ACTIVE_BOOKINGS nu blochează pacienți cu istoricul curat</t>
  </si>
  <si>
    <t>📧  EMAIL DE CONFIRMARE</t>
  </si>
  <si>
    <t>Email de confirmare trimis după programare WebBot cu email introdus — sosește în inbox</t>
  </si>
  <si>
    <t>Verifică că emailul sosește, conține datele corecte (dată, oră, medic, adresă clinică) și atașamentul .ics</t>
  </si>
  <si>
    <t>Email de confirmare trimis după programare WhatsApp cu email introdus</t>
  </si>
  <si>
    <t>Verifică că emailul de pe canalul WhatsApp e identic ca format cu cel de pe WebBot</t>
  </si>
  <si>
    <t>Atașamentul .ics din email se poate adăuga în Google Calendar / Apple Calendar</t>
  </si>
  <si>
    <t>Verifică că fișierul .ics e valid și se importă corect cu data și ora programării</t>
  </si>
  <si>
    <t>Email introdus greșit (domeniu inexistent) — serverul SMTP returnează bounce</t>
  </si>
  <si>
    <t>Verifică că eroarea e logată dar programarea rămâne validă (emailul e opțional)</t>
  </si>
  <si>
    <t>⚖️  LOAD BALANCING &amp; DISTRIBUȚIE DOCTORI</t>
  </si>
  <si>
    <t>3 doctori disponibili la aceeași oră — botul alege doctorul cu cel mai lung gap liber înainte de slot</t>
  </si>
  <si>
    <t>Verifică algoritmul de load balancing (Regula 1: gap maxim înainte de slot)</t>
  </si>
  <si>
    <t>2 doctori cu gap identic — botul alege cel cu mai puține programări în ziua curentă</t>
  </si>
  <si>
    <t>Verifică Regula 2 de load balancing (tie-break: programări minime azi)</t>
  </si>
  <si>
    <t>Toți doctorii cu gap și load zilnic identice — botul alege cel cu mai puține programări săptămâna curentă</t>
  </si>
  <si>
    <t>Verifică Regula 3 de load balancing (tie-break: programări minime săptămânal)</t>
  </si>
  <si>
    <t>Doctor specific ales de pacient e complet ocupat toată ziua — botul informează că nu e disponibil</t>
  </si>
  <si>
    <t>Verifică că botul nu asignează alt doctor fără acordul pacientului când e cerut doctor specific</t>
  </si>
  <si>
    <t>🏥  CONFIGURARE &amp; PARAMETRIZARE</t>
  </si>
  <si>
    <t>Schimbare SLOT_INTERVAL_MIN din env (ex: 30 min → 60 min) — picker-ul afișează sloturi la 60 min</t>
  </si>
  <si>
    <t>Verifică că parametrul de interval sloturi e respectat fără modificări de cod</t>
  </si>
  <si>
    <t>Adăugare al 4-lea doctor în env (DOCTOR_NAME_DR4, CALENDAR_ID_DR4 etc.) — apare ca opțiune în bot</t>
  </si>
  <si>
    <t>Verifică că sistemul dinamic de încărcare doctori funcționează fără cod nou</t>
  </si>
  <si>
    <t>Doctor configurat să lucreze doar Luni-Miercuri — joi și vineri nu apare ca disponibil</t>
  </si>
  <si>
    <t>Verifică că zilele de lucru per doctor sunt respectate corect</t>
  </si>
  <si>
    <t>Doctor configurat cu orar 09:00-14:00 — sloturile de după 14:00 nu apar pentru el</t>
  </si>
  <si>
    <t>Verifică că orarul per doctor limitează sloturile afișate corect</t>
  </si>
  <si>
    <t>🔒  SECURITATE &amp; CAZURI LIMITĂ</t>
  </si>
  <si>
    <t>Apel direct la POST /api/bookings fără x-api-key header</t>
  </si>
  <si>
    <t>Verifică că endpoint-ul returnează 401 Unauthorized și nu creează programarea</t>
  </si>
  <si>
    <t>Apel la POST /api/admin/cleanup-pending fără x-api-key</t>
  </si>
  <si>
    <t>Verifică că rutele admin sunt protejate și returnează 401</t>
  </si>
  <si>
    <t>Payload malformat trimis la /api/bookings (câmpuri lipsă: fără dată, fără serviciu)</t>
  </si>
  <si>
    <t>Verifică că validarea server-side returnează mesaj de eroare clar, nu crash</t>
  </si>
  <si>
    <t>Injectare SQL sau caractere speciale în câmpul de nume (ex: '; DROP TABLE appointments;--)</t>
  </si>
  <si>
    <t>Verifică că Supabase client parametrizează query-urile și nu există vulnerabilitate SQL injection</t>
  </si>
  <si>
    <t>Număr de telefon în formate diverse: 0722111222 / +40722111222 / 40722111222 / 0040722111222</t>
  </si>
  <si>
    <t>Verifică că toate formatele sunt normalizate la aceleași 9 cifre finale pentru căutare în DB</t>
  </si>
  <si>
    <t>Pacient face programare, apoi imediat o altă programare cu același număr — a 2-a e blocată</t>
  </si>
  <si>
    <t>Verifică limita MAX_ACTIVE_BOOKINGS funcționează în timp real, nu doar la restart server</t>
  </si>
  <si>
    <t>Server SMTP indisponibil — programarea se finalizează dar emailul eșuează gracefully</t>
  </si>
  <si>
    <t>Verifică că eroarea de email NU anulează programarea și e logată corect pe server</t>
  </si>
  <si>
    <t>Google Calendar API indisponibil temporar — processBooking face rollback corect</t>
  </si>
  <si>
    <t>Verifică că rândul Pending e șters din Supabase dacă inserția în Calendar eșuează</t>
  </si>
  <si>
    <t>Supabase indisponibil — botul returnează mesaj de eroare în română, fără stack trace</t>
  </si>
  <si>
    <t>Verifică că erorile de infrastructură sunt gestionate gracefully și nu expun date tehnice</t>
  </si>
  <si>
    <t>Programare duplicat: 2 request-uri simultane pentru același doctor/dată/oră</t>
  </si>
  <si>
    <t>Verifică că UNIQUE constraint din Supabase blochează al doilea insert cu mesaj românesc</t>
  </si>
  <si>
    <t>DentalVoice — Sumar Testare</t>
  </si>
  <si>
    <t>Total scenarii</t>
  </si>
  <si>
    <t>✅ OK</t>
  </si>
  <si>
    <t>❌ NOK</t>
  </si>
  <si>
    <t>⏳ Netestate</t>
  </si>
  <si>
    <t>Instrucțiuni:</t>
  </si>
  <si>
    <t>1. Pe sheet-ul 'Scenarii de Test', coloana D are dropdown: ✅ OK / ❌ NOK / ⏳ Neptestat</t>
  </si>
  <si>
    <t>2. Completați coloana E (Comentarii) pentru orice scenariu marcat NOK</t>
  </si>
  <si>
    <t>3. Sumarul de pe acest sheet se actualizează automat</t>
  </si>
  <si>
    <t>4. Adăugați scenarii noi direct în sheet-ul principal, respectând formatul</t>
  </si>
  <si>
    <t>Observatii</t>
  </si>
  <si>
    <t xml:space="preserve">1.Daca incerc sa fac programare manuala, din dashboardul receptiei, si din greseala dau de 2 ori pe "Salveaza Programarea" dupa ce am introdus toate datele, sistemul imi salveaza 2 programari desi eu vreua sa salvez doar o data, am dat din greseala dublu click in loc de click simplu. Asta trebuie evitat.
2. cand fac programarea manual In continuare apare de 2 ori optiunea "Oricare medic disponibil"
3. Sa zicem ca lurez la receptie, in dashboardul actual nu pot face mai multe programari intr-un slot orar (desi in configuratia actuala am 3 doctori la clinica de test), deci ar trebui sa pot face intr-un slot orar programari maxim cu numarul de medici configurati. Numarul de medici trebuie sa fie un parametru configurabil.
4. Daca fac 2 sau mai multe programari in acelasi slot orar (pentru ca am mai multi medici la clinica pot face numar de programari maxim cati medici am) in dashboardul receptiei apare in celula corespunzatoare acelui slot doar "2 programari" sau cate sunt, si nu pot deschide sa vad detaliile fiecarei programare. Ma intereseaza sa vad toate programarile in celula (doar inf generale Nume dr si serviciul oferit) si sa pot deschide fiecare programare in parte pentru a vedea toate detaliile
5. Pe partea de programare whatsapp, daca aleg data si imi arata sloturile orare, vreau sa am si un buton care sa ma intoarca la alegerea datei cu titlul "Schimba data aleasa" (pe langa toate butoanele cu sloturile orare disponibile)
6. dupa ce finalizez programarea pe whatsapp si vreau sa imi trimit datele pe email, aleg optiunea sa introduc emailul dar chatul revine la meniul initial, nu imi cere emailul ca sa imi trimita datele programarii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</si>
</sst>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rgb="FFFFFFFF"/>
      <name val="Arial"/>
    </font>
    <font>
      <b/>
      <sz val="10"/>
      <color rgb="FFFFFFFF"/>
      <name val="Arial"/>
    </font>
    <font>
      <b/>
      <sz val="9"/>
      <name val="Arial"/>
    </font>
    <font>
      <sz val="9"/>
      <name val="Arial"/>
    </font>
    <font>
      <b/>
      <sz val="12"/>
      <color rgb="FFFFFFFF"/>
      <name val="Arial"/>
    </font>
    <font>
      <b/>
      <sz val="10"/>
      <name val="Arial"/>
    </font>
    <font>
      <sz val="10"/>
      <name val="Arial"/>
    </font>
    <font>
      <sz val="9"/>
      <color rgb="FF374151"/>
      <name val="Arial"/>
    </font>
  </fonts>
  <fills count="8">
    <fill>
      <patternFill patternType="none"/>
    </fill>
    <fill>
      <patternFill patternType="gray125"/>
    </fill>
    <fill>
      <patternFill patternType="solid">
        <fgColor rgb="FF1E3A5F"/>
      </patternFill>
    </fill>
    <fill>
      <patternFill patternType="solid">
        <fgColor rgb="FF2563EB"/>
      </patternFill>
    </fill>
    <fill>
      <patternFill patternType="solid">
        <fgColor rgb="FFF8FAFF"/>
      </patternFill>
    </fill>
    <fill>
      <patternFill patternType="solid">
        <fgColor rgb="FFFFFFFF"/>
      </patternFill>
    </fill>
    <fill>
      <patternFill patternType="solid">
        <fgColor rgb="FFD1FAE5"/>
      </patternFill>
    </fill>
    <fill>
      <patternFill patternType="solid">
        <fgColor rgb="FFFEE2E2"/>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bottom/>
      <diagonal/>
    </border>
  </borders>
  <cellStyleXfs count="1">
    <xf numFmtId="0" fontId="0" fillId="0" borderId="0"/>
  </cellStyleXfs>
  <cellXfs count="23">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top" wrapText="1"/>
    </xf>
    <xf numFmtId="0" fontId="4" fillId="4" borderId="1" xfId="0" applyFont="1" applyFill="1" applyBorder="1" applyAlignment="1">
      <alignment horizontal="left" vertical="top" wrapText="1"/>
    </xf>
    <xf numFmtId="0" fontId="4"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5" borderId="1" xfId="0" applyFont="1" applyFill="1" applyBorder="1" applyAlignment="1">
      <alignment horizontal="left" vertical="top" wrapText="1"/>
    </xf>
    <xf numFmtId="0" fontId="4" fillId="5" borderId="1" xfId="0" applyFont="1" applyFill="1" applyBorder="1" applyAlignment="1">
      <alignment horizontal="center" vertical="top" wrapText="1"/>
    </xf>
    <xf numFmtId="0" fontId="6" fillId="5" borderId="1" xfId="0" applyFont="1" applyFill="1" applyBorder="1" applyAlignment="1">
      <alignment horizontal="left" vertical="center" inden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indent="1"/>
    </xf>
    <xf numFmtId="0" fontId="7" fillId="6" borderId="1" xfId="0" applyFont="1" applyFill="1" applyBorder="1" applyAlignment="1">
      <alignment horizontal="center" vertical="center"/>
    </xf>
    <xf numFmtId="0" fontId="7" fillId="7" borderId="1" xfId="0" applyFont="1" applyFill="1" applyBorder="1" applyAlignment="1">
      <alignment horizontal="left" vertical="center" indent="1"/>
    </xf>
    <xf numFmtId="0" fontId="7" fillId="7" borderId="1" xfId="0" applyFont="1" applyFill="1" applyBorder="1" applyAlignment="1">
      <alignment horizontal="center" vertical="center"/>
    </xf>
    <xf numFmtId="0" fontId="7" fillId="4" borderId="1" xfId="0" applyFont="1" applyFill="1" applyBorder="1" applyAlignment="1">
      <alignment horizontal="left" vertical="center" indent="1"/>
    </xf>
    <xf numFmtId="0" fontId="7" fillId="4" borderId="1" xfId="0" applyFont="1" applyFill="1" applyBorder="1" applyAlignment="1">
      <alignment horizontal="center" vertical="center"/>
    </xf>
    <xf numFmtId="0" fontId="1" fillId="2" borderId="0" xfId="0" applyFont="1" applyFill="1" applyAlignment="1">
      <alignment horizontal="center" vertical="center" wrapText="1"/>
    </xf>
    <xf numFmtId="0" fontId="0" fillId="0" borderId="0" xfId="0"/>
    <xf numFmtId="0" fontId="2" fillId="3" borderId="0" xfId="0" applyFont="1" applyFill="1" applyAlignment="1">
      <alignment horizontal="left" vertical="center" indent="1"/>
    </xf>
    <xf numFmtId="0" fontId="8" fillId="0" borderId="0" xfId="0" applyFont="1"/>
    <xf numFmtId="0" fontId="5" fillId="2" borderId="0" xfId="0" applyFont="1" applyFill="1" applyAlignment="1">
      <alignment horizontal="center" vertical="center" wrapText="1"/>
    </xf>
    <xf numFmtId="0" fontId="6" fillId="0" borderId="0" xfId="0" applyFont="1"/>
    <xf numFmtId="0" fontId="4" fillId="4" borderId="2"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1"/>
  <sheetViews>
    <sheetView showGridLines="0" tabSelected="1" topLeftCell="B1" workbookViewId="0">
      <pane ySplit="3" topLeftCell="A11" activePane="bottomLeft" state="frozen"/>
      <selection pane="bottomLeft" activeCell="F5" sqref="F5"/>
    </sheetView>
  </sheetViews>
  <sheetFormatPr defaultRowHeight="15" x14ac:dyDescent="0.25"/>
  <cols>
    <col min="1" max="1" width="8" customWidth="1"/>
    <col min="2" max="2" width="52" customWidth="1"/>
    <col min="3" max="3" width="38" customWidth="1"/>
    <col min="4" max="4" width="14" customWidth="1"/>
    <col min="5" max="5" width="38" customWidth="1"/>
    <col min="6" max="6" width="46.28515625" customWidth="1"/>
  </cols>
  <sheetData>
    <row r="1" spans="1:6" ht="36" customHeight="1" x14ac:dyDescent="0.25">
      <c r="A1" s="16" t="s">
        <v>0</v>
      </c>
      <c r="B1" s="17"/>
      <c r="C1" s="17"/>
      <c r="D1" s="17"/>
      <c r="E1" s="17"/>
    </row>
    <row r="2" spans="1:6" ht="14.1" customHeight="1" x14ac:dyDescent="0.25">
      <c r="A2" s="17"/>
      <c r="B2" s="17"/>
      <c r="C2" s="17"/>
      <c r="D2" s="17"/>
      <c r="E2" s="17"/>
    </row>
    <row r="3" spans="1:6" ht="30" customHeight="1" x14ac:dyDescent="0.25">
      <c r="A3" s="1" t="s">
        <v>1</v>
      </c>
      <c r="B3" s="1" t="s">
        <v>2</v>
      </c>
      <c r="C3" s="1" t="s">
        <v>3</v>
      </c>
      <c r="D3" s="1" t="s">
        <v>4</v>
      </c>
      <c r="E3" s="1" t="s">
        <v>5</v>
      </c>
      <c r="F3" s="1" t="s">
        <v>165</v>
      </c>
    </row>
    <row r="4" spans="1:6" ht="20.100000000000001" customHeight="1" x14ac:dyDescent="0.25">
      <c r="A4" s="18" t="s">
        <v>6</v>
      </c>
      <c r="B4" s="17"/>
      <c r="C4" s="17"/>
      <c r="D4" s="17"/>
      <c r="E4" s="17"/>
    </row>
    <row r="5" spans="1:6" ht="408" x14ac:dyDescent="0.25">
      <c r="A5" s="2">
        <v>1</v>
      </c>
      <c r="B5" s="3" t="s">
        <v>7</v>
      </c>
      <c r="C5" s="3" t="s">
        <v>8</v>
      </c>
      <c r="D5" s="4" t="s">
        <v>9</v>
      </c>
      <c r="E5" s="3"/>
      <c r="F5" s="22" t="s">
        <v>166</v>
      </c>
    </row>
    <row r="6" spans="1:6" ht="51.95" customHeight="1" x14ac:dyDescent="0.25">
      <c r="A6" s="5">
        <v>2</v>
      </c>
      <c r="B6" s="6" t="s">
        <v>10</v>
      </c>
      <c r="C6" s="6" t="s">
        <v>11</v>
      </c>
      <c r="D6" s="7" t="s">
        <v>9</v>
      </c>
      <c r="E6" s="6"/>
    </row>
    <row r="7" spans="1:6" ht="51.95" customHeight="1" x14ac:dyDescent="0.25">
      <c r="A7" s="2">
        <v>3</v>
      </c>
      <c r="B7" s="3" t="s">
        <v>12</v>
      </c>
      <c r="C7" s="3" t="s">
        <v>13</v>
      </c>
      <c r="D7" s="4" t="s">
        <v>9</v>
      </c>
      <c r="E7" s="3"/>
    </row>
    <row r="8" spans="1:6" ht="51.95" customHeight="1" x14ac:dyDescent="0.25">
      <c r="A8" s="5">
        <v>4</v>
      </c>
      <c r="B8" s="6" t="s">
        <v>14</v>
      </c>
      <c r="C8" s="6" t="s">
        <v>15</v>
      </c>
      <c r="D8" s="7" t="s">
        <v>9</v>
      </c>
      <c r="E8" s="6"/>
    </row>
    <row r="9" spans="1:6" ht="51.95" customHeight="1" x14ac:dyDescent="0.25">
      <c r="A9" s="2">
        <v>5</v>
      </c>
      <c r="B9" s="3" t="s">
        <v>16</v>
      </c>
      <c r="C9" s="3" t="s">
        <v>17</v>
      </c>
      <c r="D9" s="4" t="s">
        <v>9</v>
      </c>
      <c r="E9" s="3"/>
    </row>
    <row r="10" spans="1:6" ht="51.95" customHeight="1" x14ac:dyDescent="0.25">
      <c r="A10" s="5">
        <v>6</v>
      </c>
      <c r="B10" s="6" t="s">
        <v>18</v>
      </c>
      <c r="C10" s="6" t="s">
        <v>19</v>
      </c>
      <c r="D10" s="7" t="s">
        <v>9</v>
      </c>
      <c r="E10" s="6"/>
    </row>
    <row r="11" spans="1:6" ht="51.95" customHeight="1" x14ac:dyDescent="0.25">
      <c r="A11" s="2">
        <v>7</v>
      </c>
      <c r="B11" s="3" t="s">
        <v>20</v>
      </c>
      <c r="C11" s="3" t="s">
        <v>21</v>
      </c>
      <c r="D11" s="4" t="s">
        <v>9</v>
      </c>
      <c r="E11" s="3"/>
    </row>
    <row r="12" spans="1:6" ht="51.95" customHeight="1" x14ac:dyDescent="0.25">
      <c r="A12" s="5">
        <v>8</v>
      </c>
      <c r="B12" s="6" t="s">
        <v>22</v>
      </c>
      <c r="C12" s="6" t="s">
        <v>23</v>
      </c>
      <c r="D12" s="7" t="s">
        <v>9</v>
      </c>
      <c r="E12" s="6"/>
    </row>
    <row r="13" spans="1:6" ht="51.95" customHeight="1" x14ac:dyDescent="0.25">
      <c r="A13" s="2">
        <v>9</v>
      </c>
      <c r="B13" s="3" t="s">
        <v>24</v>
      </c>
      <c r="C13" s="3" t="s">
        <v>25</v>
      </c>
      <c r="D13" s="4" t="s">
        <v>9</v>
      </c>
      <c r="E13" s="3"/>
    </row>
    <row r="14" spans="1:6" ht="51.95" customHeight="1" x14ac:dyDescent="0.25">
      <c r="A14" s="5">
        <v>10</v>
      </c>
      <c r="B14" s="6" t="s">
        <v>26</v>
      </c>
      <c r="C14" s="6" t="s">
        <v>27</v>
      </c>
      <c r="D14" s="7" t="s">
        <v>9</v>
      </c>
      <c r="E14" s="6"/>
    </row>
    <row r="15" spans="1:6" ht="51.95" customHeight="1" x14ac:dyDescent="0.25">
      <c r="A15" s="2">
        <v>11</v>
      </c>
      <c r="B15" s="3" t="s">
        <v>28</v>
      </c>
      <c r="C15" s="3" t="s">
        <v>29</v>
      </c>
      <c r="D15" s="4" t="s">
        <v>9</v>
      </c>
      <c r="E15" s="3"/>
    </row>
    <row r="16" spans="1:6" ht="51.95" customHeight="1" x14ac:dyDescent="0.25">
      <c r="A16" s="5">
        <v>12</v>
      </c>
      <c r="B16" s="6" t="s">
        <v>30</v>
      </c>
      <c r="C16" s="6" t="s">
        <v>31</v>
      </c>
      <c r="D16" s="7" t="s">
        <v>9</v>
      </c>
      <c r="E16" s="6"/>
    </row>
    <row r="17" spans="1:5" ht="51.95" customHeight="1" x14ac:dyDescent="0.25">
      <c r="A17" s="2">
        <v>13</v>
      </c>
      <c r="B17" s="3" t="s">
        <v>32</v>
      </c>
      <c r="C17" s="3" t="s">
        <v>33</v>
      </c>
      <c r="D17" s="4" t="s">
        <v>9</v>
      </c>
      <c r="E17" s="3"/>
    </row>
    <row r="18" spans="1:5" ht="51.95" customHeight="1" x14ac:dyDescent="0.25">
      <c r="A18" s="5">
        <v>14</v>
      </c>
      <c r="B18" s="6" t="s">
        <v>34</v>
      </c>
      <c r="C18" s="6" t="s">
        <v>35</v>
      </c>
      <c r="D18" s="7" t="s">
        <v>9</v>
      </c>
      <c r="E18" s="6"/>
    </row>
    <row r="19" spans="1:5" ht="51.95" customHeight="1" x14ac:dyDescent="0.25">
      <c r="A19" s="2">
        <v>15</v>
      </c>
      <c r="B19" s="3" t="s">
        <v>36</v>
      </c>
      <c r="C19" s="3" t="s">
        <v>37</v>
      </c>
      <c r="D19" s="4" t="s">
        <v>9</v>
      </c>
      <c r="E19" s="3"/>
    </row>
    <row r="20" spans="1:5" ht="51.95" customHeight="1" x14ac:dyDescent="0.25">
      <c r="A20" s="5">
        <v>16</v>
      </c>
      <c r="B20" s="6" t="s">
        <v>38</v>
      </c>
      <c r="C20" s="6" t="s">
        <v>39</v>
      </c>
      <c r="D20" s="7" t="s">
        <v>9</v>
      </c>
      <c r="E20" s="6"/>
    </row>
    <row r="21" spans="1:5" ht="51.95" customHeight="1" x14ac:dyDescent="0.25">
      <c r="A21" s="2">
        <v>17</v>
      </c>
      <c r="B21" s="3" t="s">
        <v>40</v>
      </c>
      <c r="C21" s="3" t="s">
        <v>41</v>
      </c>
      <c r="D21" s="4" t="s">
        <v>9</v>
      </c>
      <c r="E21" s="3"/>
    </row>
    <row r="22" spans="1:5" ht="51.95" customHeight="1" x14ac:dyDescent="0.25">
      <c r="A22" s="5">
        <v>18</v>
      </c>
      <c r="B22" s="6" t="s">
        <v>42</v>
      </c>
      <c r="C22" s="6" t="s">
        <v>43</v>
      </c>
      <c r="D22" s="7" t="s">
        <v>9</v>
      </c>
      <c r="E22" s="6"/>
    </row>
    <row r="23" spans="1:5" ht="51.95" customHeight="1" x14ac:dyDescent="0.25">
      <c r="A23" s="2">
        <v>19</v>
      </c>
      <c r="B23" s="3" t="s">
        <v>44</v>
      </c>
      <c r="C23" s="3" t="s">
        <v>45</v>
      </c>
      <c r="D23" s="4" t="s">
        <v>9</v>
      </c>
      <c r="E23" s="3"/>
    </row>
    <row r="24" spans="1:5" ht="51.95" customHeight="1" x14ac:dyDescent="0.25">
      <c r="A24" s="5">
        <v>20</v>
      </c>
      <c r="B24" s="6" t="s">
        <v>46</v>
      </c>
      <c r="C24" s="6" t="s">
        <v>47</v>
      </c>
      <c r="D24" s="7" t="s">
        <v>9</v>
      </c>
      <c r="E24" s="6"/>
    </row>
    <row r="25" spans="1:5" ht="20.100000000000001" customHeight="1" x14ac:dyDescent="0.25">
      <c r="A25" s="18" t="s">
        <v>48</v>
      </c>
      <c r="B25" s="17"/>
      <c r="C25" s="17"/>
      <c r="D25" s="17"/>
      <c r="E25" s="17"/>
    </row>
    <row r="26" spans="1:5" ht="51.95" customHeight="1" x14ac:dyDescent="0.25">
      <c r="A26" s="2">
        <v>21</v>
      </c>
      <c r="B26" s="3" t="s">
        <v>49</v>
      </c>
      <c r="C26" s="3" t="s">
        <v>50</v>
      </c>
      <c r="D26" s="4" t="s">
        <v>9</v>
      </c>
      <c r="E26" s="3"/>
    </row>
    <row r="27" spans="1:5" ht="51.95" customHeight="1" x14ac:dyDescent="0.25">
      <c r="A27" s="5">
        <v>22</v>
      </c>
      <c r="B27" s="6" t="s">
        <v>51</v>
      </c>
      <c r="C27" s="6" t="s">
        <v>52</v>
      </c>
      <c r="D27" s="7" t="s">
        <v>9</v>
      </c>
      <c r="E27" s="6"/>
    </row>
    <row r="28" spans="1:5" ht="51.95" customHeight="1" x14ac:dyDescent="0.25">
      <c r="A28" s="2">
        <v>23</v>
      </c>
      <c r="B28" s="3" t="s">
        <v>53</v>
      </c>
      <c r="C28" s="3" t="s">
        <v>54</v>
      </c>
      <c r="D28" s="4" t="s">
        <v>9</v>
      </c>
      <c r="E28" s="3"/>
    </row>
    <row r="29" spans="1:5" ht="51.95" customHeight="1" x14ac:dyDescent="0.25">
      <c r="A29" s="5">
        <v>24</v>
      </c>
      <c r="B29" s="6" t="s">
        <v>55</v>
      </c>
      <c r="C29" s="6" t="s">
        <v>56</v>
      </c>
      <c r="D29" s="7" t="s">
        <v>9</v>
      </c>
      <c r="E29" s="6"/>
    </row>
    <row r="30" spans="1:5" ht="51.95" customHeight="1" x14ac:dyDescent="0.25">
      <c r="A30" s="2">
        <v>25</v>
      </c>
      <c r="B30" s="3" t="s">
        <v>57</v>
      </c>
      <c r="C30" s="3" t="s">
        <v>58</v>
      </c>
      <c r="D30" s="4" t="s">
        <v>9</v>
      </c>
      <c r="E30" s="3"/>
    </row>
    <row r="31" spans="1:5" ht="51.95" customHeight="1" x14ac:dyDescent="0.25">
      <c r="A31" s="5">
        <v>26</v>
      </c>
      <c r="B31" s="6" t="s">
        <v>59</v>
      </c>
      <c r="C31" s="6" t="s">
        <v>60</v>
      </c>
      <c r="D31" s="7" t="s">
        <v>9</v>
      </c>
      <c r="E31" s="6"/>
    </row>
    <row r="32" spans="1:5" ht="51.95" customHeight="1" x14ac:dyDescent="0.25">
      <c r="A32" s="2">
        <v>27</v>
      </c>
      <c r="B32" s="3" t="s">
        <v>61</v>
      </c>
      <c r="C32" s="3" t="s">
        <v>62</v>
      </c>
      <c r="D32" s="4" t="s">
        <v>9</v>
      </c>
      <c r="E32" s="3"/>
    </row>
    <row r="33" spans="1:5" ht="51.95" customHeight="1" x14ac:dyDescent="0.25">
      <c r="A33" s="5">
        <v>28</v>
      </c>
      <c r="B33" s="6" t="s">
        <v>63</v>
      </c>
      <c r="C33" s="6" t="s">
        <v>64</v>
      </c>
      <c r="D33" s="7" t="s">
        <v>9</v>
      </c>
      <c r="E33" s="6"/>
    </row>
    <row r="34" spans="1:5" ht="51.95" customHeight="1" x14ac:dyDescent="0.25">
      <c r="A34" s="2">
        <v>29</v>
      </c>
      <c r="B34" s="3" t="s">
        <v>65</v>
      </c>
      <c r="C34" s="3" t="s">
        <v>66</v>
      </c>
      <c r="D34" s="4" t="s">
        <v>9</v>
      </c>
      <c r="E34" s="3"/>
    </row>
    <row r="35" spans="1:5" ht="51.95" customHeight="1" x14ac:dyDescent="0.25">
      <c r="A35" s="5">
        <v>30</v>
      </c>
      <c r="B35" s="6" t="s">
        <v>67</v>
      </c>
      <c r="C35" s="6" t="s">
        <v>68</v>
      </c>
      <c r="D35" s="7" t="s">
        <v>9</v>
      </c>
      <c r="E35" s="6"/>
    </row>
    <row r="36" spans="1:5" ht="51.95" customHeight="1" x14ac:dyDescent="0.25">
      <c r="A36" s="2">
        <v>31</v>
      </c>
      <c r="B36" s="3" t="s">
        <v>69</v>
      </c>
      <c r="C36" s="3" t="s">
        <v>70</v>
      </c>
      <c r="D36" s="4" t="s">
        <v>9</v>
      </c>
      <c r="E36" s="3"/>
    </row>
    <row r="37" spans="1:5" ht="51.95" customHeight="1" x14ac:dyDescent="0.25">
      <c r="A37" s="5">
        <v>32</v>
      </c>
      <c r="B37" s="6" t="s">
        <v>71</v>
      </c>
      <c r="C37" s="6" t="s">
        <v>72</v>
      </c>
      <c r="D37" s="7" t="s">
        <v>9</v>
      </c>
      <c r="E37" s="6"/>
    </row>
    <row r="38" spans="1:5" ht="51.95" customHeight="1" x14ac:dyDescent="0.25">
      <c r="A38" s="2">
        <v>33</v>
      </c>
      <c r="B38" s="3" t="s">
        <v>73</v>
      </c>
      <c r="C38" s="3" t="s">
        <v>74</v>
      </c>
      <c r="D38" s="4" t="s">
        <v>9</v>
      </c>
      <c r="E38" s="3"/>
    </row>
    <row r="39" spans="1:5" ht="51.95" customHeight="1" x14ac:dyDescent="0.25">
      <c r="A39" s="5">
        <v>34</v>
      </c>
      <c r="B39" s="6" t="s">
        <v>75</v>
      </c>
      <c r="C39" s="6" t="s">
        <v>76</v>
      </c>
      <c r="D39" s="7" t="s">
        <v>9</v>
      </c>
      <c r="E39" s="6"/>
    </row>
    <row r="40" spans="1:5" ht="51.95" customHeight="1" x14ac:dyDescent="0.25">
      <c r="A40" s="2">
        <v>35</v>
      </c>
      <c r="B40" s="3" t="s">
        <v>77</v>
      </c>
      <c r="C40" s="3" t="s">
        <v>78</v>
      </c>
      <c r="D40" s="4" t="s">
        <v>9</v>
      </c>
      <c r="E40" s="3"/>
    </row>
    <row r="41" spans="1:5" ht="51.95" customHeight="1" x14ac:dyDescent="0.25">
      <c r="A41" s="5">
        <v>36</v>
      </c>
      <c r="B41" s="6" t="s">
        <v>79</v>
      </c>
      <c r="C41" s="6" t="s">
        <v>80</v>
      </c>
      <c r="D41" s="7" t="s">
        <v>9</v>
      </c>
      <c r="E41" s="6"/>
    </row>
    <row r="42" spans="1:5" ht="20.100000000000001" customHeight="1" x14ac:dyDescent="0.25">
      <c r="A42" s="18" t="s">
        <v>81</v>
      </c>
      <c r="B42" s="17"/>
      <c r="C42" s="17"/>
      <c r="D42" s="17"/>
      <c r="E42" s="17"/>
    </row>
    <row r="43" spans="1:5" ht="51.95" customHeight="1" x14ac:dyDescent="0.25">
      <c r="A43" s="2">
        <v>37</v>
      </c>
      <c r="B43" s="3" t="s">
        <v>82</v>
      </c>
      <c r="C43" s="3" t="s">
        <v>83</v>
      </c>
      <c r="D43" s="4" t="s">
        <v>9</v>
      </c>
      <c r="E43" s="3"/>
    </row>
    <row r="44" spans="1:5" ht="51.95" customHeight="1" x14ac:dyDescent="0.25">
      <c r="A44" s="5">
        <v>38</v>
      </c>
      <c r="B44" s="6" t="s">
        <v>84</v>
      </c>
      <c r="C44" s="6" t="s">
        <v>85</v>
      </c>
      <c r="D44" s="7" t="s">
        <v>9</v>
      </c>
      <c r="E44" s="6"/>
    </row>
    <row r="45" spans="1:5" ht="51.95" customHeight="1" x14ac:dyDescent="0.25">
      <c r="A45" s="2">
        <v>39</v>
      </c>
      <c r="B45" s="3" t="s">
        <v>86</v>
      </c>
      <c r="C45" s="3" t="s">
        <v>87</v>
      </c>
      <c r="D45" s="4" t="s">
        <v>9</v>
      </c>
      <c r="E45" s="3"/>
    </row>
    <row r="46" spans="1:5" ht="51.95" customHeight="1" x14ac:dyDescent="0.25">
      <c r="A46" s="5">
        <v>40</v>
      </c>
      <c r="B46" s="6" t="s">
        <v>88</v>
      </c>
      <c r="C46" s="6" t="s">
        <v>89</v>
      </c>
      <c r="D46" s="7" t="s">
        <v>9</v>
      </c>
      <c r="E46" s="6"/>
    </row>
    <row r="47" spans="1:5" ht="51.95" customHeight="1" x14ac:dyDescent="0.25">
      <c r="A47" s="2">
        <v>41</v>
      </c>
      <c r="B47" s="3" t="s">
        <v>90</v>
      </c>
      <c r="C47" s="3" t="s">
        <v>91</v>
      </c>
      <c r="D47" s="4" t="s">
        <v>9</v>
      </c>
      <c r="E47" s="3"/>
    </row>
    <row r="48" spans="1:5" ht="51.95" customHeight="1" x14ac:dyDescent="0.25">
      <c r="A48" s="5">
        <v>42</v>
      </c>
      <c r="B48" s="6" t="s">
        <v>92</v>
      </c>
      <c r="C48" s="6" t="s">
        <v>93</v>
      </c>
      <c r="D48" s="7" t="s">
        <v>9</v>
      </c>
      <c r="E48" s="6"/>
    </row>
    <row r="49" spans="1:5" ht="20.100000000000001" customHeight="1" x14ac:dyDescent="0.25">
      <c r="A49" s="18" t="s">
        <v>94</v>
      </c>
      <c r="B49" s="17"/>
      <c r="C49" s="17"/>
      <c r="D49" s="17"/>
      <c r="E49" s="17"/>
    </row>
    <row r="50" spans="1:5" ht="51.95" customHeight="1" x14ac:dyDescent="0.25">
      <c r="A50" s="2">
        <v>43</v>
      </c>
      <c r="B50" s="3" t="s">
        <v>95</v>
      </c>
      <c r="C50" s="3" t="s">
        <v>96</v>
      </c>
      <c r="D50" s="4" t="s">
        <v>9</v>
      </c>
      <c r="E50" s="3"/>
    </row>
    <row r="51" spans="1:5" ht="51.95" customHeight="1" x14ac:dyDescent="0.25">
      <c r="A51" s="5">
        <v>44</v>
      </c>
      <c r="B51" s="6" t="s">
        <v>97</v>
      </c>
      <c r="C51" s="6" t="s">
        <v>98</v>
      </c>
      <c r="D51" s="7" t="s">
        <v>9</v>
      </c>
      <c r="E51" s="6"/>
    </row>
    <row r="52" spans="1:5" ht="51.95" customHeight="1" x14ac:dyDescent="0.25">
      <c r="A52" s="2">
        <v>45</v>
      </c>
      <c r="B52" s="3" t="s">
        <v>99</v>
      </c>
      <c r="C52" s="3" t="s">
        <v>100</v>
      </c>
      <c r="D52" s="4" t="s">
        <v>9</v>
      </c>
      <c r="E52" s="3"/>
    </row>
    <row r="53" spans="1:5" ht="51.95" customHeight="1" x14ac:dyDescent="0.25">
      <c r="A53" s="5">
        <v>46</v>
      </c>
      <c r="B53" s="6" t="s">
        <v>101</v>
      </c>
      <c r="C53" s="6" t="s">
        <v>102</v>
      </c>
      <c r="D53" s="7" t="s">
        <v>9</v>
      </c>
      <c r="E53" s="6"/>
    </row>
    <row r="54" spans="1:5" ht="51.95" customHeight="1" x14ac:dyDescent="0.25">
      <c r="A54" s="2">
        <v>47</v>
      </c>
      <c r="B54" s="3" t="s">
        <v>103</v>
      </c>
      <c r="C54" s="3" t="s">
        <v>104</v>
      </c>
      <c r="D54" s="4" t="s">
        <v>9</v>
      </c>
      <c r="E54" s="3"/>
    </row>
    <row r="55" spans="1:5" ht="51.95" customHeight="1" x14ac:dyDescent="0.25">
      <c r="A55" s="5">
        <v>48</v>
      </c>
      <c r="B55" s="6" t="s">
        <v>105</v>
      </c>
      <c r="C55" s="6" t="s">
        <v>106</v>
      </c>
      <c r="D55" s="7" t="s">
        <v>9</v>
      </c>
      <c r="E55" s="6"/>
    </row>
    <row r="56" spans="1:5" ht="20.100000000000001" customHeight="1" x14ac:dyDescent="0.25">
      <c r="A56" s="18" t="s">
        <v>107</v>
      </c>
      <c r="B56" s="17"/>
      <c r="C56" s="17"/>
      <c r="D56" s="17"/>
      <c r="E56" s="17"/>
    </row>
    <row r="57" spans="1:5" ht="51.95" customHeight="1" x14ac:dyDescent="0.25">
      <c r="A57" s="2">
        <v>49</v>
      </c>
      <c r="B57" s="3" t="s">
        <v>108</v>
      </c>
      <c r="C57" s="3" t="s">
        <v>109</v>
      </c>
      <c r="D57" s="4" t="s">
        <v>157</v>
      </c>
      <c r="E57" s="3"/>
    </row>
    <row r="58" spans="1:5" ht="51.95" customHeight="1" x14ac:dyDescent="0.25">
      <c r="A58" s="5">
        <v>50</v>
      </c>
      <c r="B58" s="6" t="s">
        <v>110</v>
      </c>
      <c r="C58" s="6" t="s">
        <v>111</v>
      </c>
      <c r="D58" s="7" t="s">
        <v>9</v>
      </c>
      <c r="E58" s="6"/>
    </row>
    <row r="59" spans="1:5" ht="51.95" customHeight="1" x14ac:dyDescent="0.25">
      <c r="A59" s="2">
        <v>51</v>
      </c>
      <c r="B59" s="3" t="s">
        <v>112</v>
      </c>
      <c r="C59" s="3" t="s">
        <v>113</v>
      </c>
      <c r="D59" s="4" t="s">
        <v>9</v>
      </c>
      <c r="E59" s="3"/>
    </row>
    <row r="60" spans="1:5" ht="51.95" customHeight="1" x14ac:dyDescent="0.25">
      <c r="A60" s="5">
        <v>52</v>
      </c>
      <c r="B60" s="6" t="s">
        <v>114</v>
      </c>
      <c r="C60" s="6" t="s">
        <v>115</v>
      </c>
      <c r="D60" s="7" t="s">
        <v>9</v>
      </c>
      <c r="E60" s="6"/>
    </row>
    <row r="61" spans="1:5" ht="20.100000000000001" customHeight="1" x14ac:dyDescent="0.25">
      <c r="A61" s="18" t="s">
        <v>116</v>
      </c>
      <c r="B61" s="17"/>
      <c r="C61" s="17"/>
      <c r="D61" s="17"/>
      <c r="E61" s="17"/>
    </row>
    <row r="62" spans="1:5" ht="51.95" customHeight="1" x14ac:dyDescent="0.25">
      <c r="A62" s="2">
        <v>53</v>
      </c>
      <c r="B62" s="3" t="s">
        <v>117</v>
      </c>
      <c r="C62" s="3" t="s">
        <v>118</v>
      </c>
      <c r="D62" s="4" t="s">
        <v>9</v>
      </c>
      <c r="E62" s="3"/>
    </row>
    <row r="63" spans="1:5" ht="51.95" customHeight="1" x14ac:dyDescent="0.25">
      <c r="A63" s="5">
        <v>54</v>
      </c>
      <c r="B63" s="6" t="s">
        <v>119</v>
      </c>
      <c r="C63" s="6" t="s">
        <v>120</v>
      </c>
      <c r="D63" s="7" t="s">
        <v>9</v>
      </c>
      <c r="E63" s="6"/>
    </row>
    <row r="64" spans="1:5" ht="51.95" customHeight="1" x14ac:dyDescent="0.25">
      <c r="A64" s="2">
        <v>55</v>
      </c>
      <c r="B64" s="3" t="s">
        <v>121</v>
      </c>
      <c r="C64" s="3" t="s">
        <v>122</v>
      </c>
      <c r="D64" s="4" t="s">
        <v>9</v>
      </c>
      <c r="E64" s="3"/>
    </row>
    <row r="65" spans="1:5" ht="51.95" customHeight="1" x14ac:dyDescent="0.25">
      <c r="A65" s="5">
        <v>56</v>
      </c>
      <c r="B65" s="6" t="s">
        <v>123</v>
      </c>
      <c r="C65" s="6" t="s">
        <v>124</v>
      </c>
      <c r="D65" s="7" t="s">
        <v>9</v>
      </c>
      <c r="E65" s="6"/>
    </row>
    <row r="66" spans="1:5" ht="20.100000000000001" customHeight="1" x14ac:dyDescent="0.25">
      <c r="A66" s="18" t="s">
        <v>125</v>
      </c>
      <c r="B66" s="17"/>
      <c r="C66" s="17"/>
      <c r="D66" s="17"/>
      <c r="E66" s="17"/>
    </row>
    <row r="67" spans="1:5" ht="51.95" customHeight="1" x14ac:dyDescent="0.25">
      <c r="A67" s="2">
        <v>57</v>
      </c>
      <c r="B67" s="3" t="s">
        <v>126</v>
      </c>
      <c r="C67" s="3" t="s">
        <v>127</v>
      </c>
      <c r="D67" s="4" t="s">
        <v>9</v>
      </c>
      <c r="E67" s="3"/>
    </row>
    <row r="68" spans="1:5" ht="51.95" customHeight="1" x14ac:dyDescent="0.25">
      <c r="A68" s="5">
        <v>58</v>
      </c>
      <c r="B68" s="6" t="s">
        <v>128</v>
      </c>
      <c r="C68" s="6" t="s">
        <v>129</v>
      </c>
      <c r="D68" s="7" t="s">
        <v>9</v>
      </c>
      <c r="E68" s="6"/>
    </row>
    <row r="69" spans="1:5" ht="51.95" customHeight="1" x14ac:dyDescent="0.25">
      <c r="A69" s="2">
        <v>59</v>
      </c>
      <c r="B69" s="3" t="s">
        <v>130</v>
      </c>
      <c r="C69" s="3" t="s">
        <v>131</v>
      </c>
      <c r="D69" s="4" t="s">
        <v>9</v>
      </c>
      <c r="E69" s="3"/>
    </row>
    <row r="70" spans="1:5" ht="51.95" customHeight="1" x14ac:dyDescent="0.25">
      <c r="A70" s="5">
        <v>60</v>
      </c>
      <c r="B70" s="6" t="s">
        <v>132</v>
      </c>
      <c r="C70" s="6" t="s">
        <v>133</v>
      </c>
      <c r="D70" s="7" t="s">
        <v>9</v>
      </c>
      <c r="E70" s="6"/>
    </row>
    <row r="71" spans="1:5" ht="20.100000000000001" customHeight="1" x14ac:dyDescent="0.25">
      <c r="A71" s="18" t="s">
        <v>134</v>
      </c>
      <c r="B71" s="17"/>
      <c r="C71" s="17"/>
      <c r="D71" s="17"/>
      <c r="E71" s="17"/>
    </row>
    <row r="72" spans="1:5" ht="51.95" customHeight="1" x14ac:dyDescent="0.25">
      <c r="A72" s="2">
        <v>61</v>
      </c>
      <c r="B72" s="3" t="s">
        <v>135</v>
      </c>
      <c r="C72" s="3" t="s">
        <v>136</v>
      </c>
      <c r="D72" s="4" t="s">
        <v>9</v>
      </c>
      <c r="E72" s="3"/>
    </row>
    <row r="73" spans="1:5" ht="51.95" customHeight="1" x14ac:dyDescent="0.25">
      <c r="A73" s="5">
        <v>62</v>
      </c>
      <c r="B73" s="6" t="s">
        <v>137</v>
      </c>
      <c r="C73" s="6" t="s">
        <v>138</v>
      </c>
      <c r="D73" s="7" t="s">
        <v>9</v>
      </c>
      <c r="E73" s="6"/>
    </row>
    <row r="74" spans="1:5" ht="51.95" customHeight="1" x14ac:dyDescent="0.25">
      <c r="A74" s="2">
        <v>63</v>
      </c>
      <c r="B74" s="3" t="s">
        <v>139</v>
      </c>
      <c r="C74" s="3" t="s">
        <v>140</v>
      </c>
      <c r="D74" s="4" t="s">
        <v>9</v>
      </c>
      <c r="E74" s="3"/>
    </row>
    <row r="75" spans="1:5" ht="51.95" customHeight="1" x14ac:dyDescent="0.25">
      <c r="A75" s="5">
        <v>64</v>
      </c>
      <c r="B75" s="6" t="s">
        <v>141</v>
      </c>
      <c r="C75" s="6" t="s">
        <v>142</v>
      </c>
      <c r="D75" s="7" t="s">
        <v>9</v>
      </c>
      <c r="E75" s="6"/>
    </row>
    <row r="76" spans="1:5" ht="51.95" customHeight="1" x14ac:dyDescent="0.25">
      <c r="A76" s="2">
        <v>65</v>
      </c>
      <c r="B76" s="3" t="s">
        <v>143</v>
      </c>
      <c r="C76" s="3" t="s">
        <v>144</v>
      </c>
      <c r="D76" s="4" t="s">
        <v>9</v>
      </c>
      <c r="E76" s="3"/>
    </row>
    <row r="77" spans="1:5" ht="51.95" customHeight="1" x14ac:dyDescent="0.25">
      <c r="A77" s="5">
        <v>66</v>
      </c>
      <c r="B77" s="6" t="s">
        <v>145</v>
      </c>
      <c r="C77" s="6" t="s">
        <v>146</v>
      </c>
      <c r="D77" s="7" t="s">
        <v>9</v>
      </c>
      <c r="E77" s="6"/>
    </row>
    <row r="78" spans="1:5" ht="51.95" customHeight="1" x14ac:dyDescent="0.25">
      <c r="A78" s="2">
        <v>67</v>
      </c>
      <c r="B78" s="3" t="s">
        <v>147</v>
      </c>
      <c r="C78" s="3" t="s">
        <v>148</v>
      </c>
      <c r="D78" s="4" t="s">
        <v>9</v>
      </c>
      <c r="E78" s="3"/>
    </row>
    <row r="79" spans="1:5" ht="51.95" customHeight="1" x14ac:dyDescent="0.25">
      <c r="A79" s="5">
        <v>68</v>
      </c>
      <c r="B79" s="6" t="s">
        <v>149</v>
      </c>
      <c r="C79" s="6" t="s">
        <v>150</v>
      </c>
      <c r="D79" s="7" t="s">
        <v>9</v>
      </c>
      <c r="E79" s="6"/>
    </row>
    <row r="80" spans="1:5" ht="51.95" customHeight="1" x14ac:dyDescent="0.25">
      <c r="A80" s="2">
        <v>69</v>
      </c>
      <c r="B80" s="3" t="s">
        <v>151</v>
      </c>
      <c r="C80" s="3" t="s">
        <v>152</v>
      </c>
      <c r="D80" s="4" t="s">
        <v>9</v>
      </c>
      <c r="E80" s="3"/>
    </row>
    <row r="81" spans="1:5" ht="51.95" customHeight="1" x14ac:dyDescent="0.25">
      <c r="A81" s="5">
        <v>70</v>
      </c>
      <c r="B81" s="6" t="s">
        <v>153</v>
      </c>
      <c r="C81" s="6" t="s">
        <v>154</v>
      </c>
      <c r="D81" s="7" t="s">
        <v>9</v>
      </c>
      <c r="E81" s="6"/>
    </row>
  </sheetData>
  <mergeCells count="10">
    <mergeCell ref="A71:E71"/>
    <mergeCell ref="A49:E49"/>
    <mergeCell ref="A1:E1"/>
    <mergeCell ref="A66:E66"/>
    <mergeCell ref="A61:E61"/>
    <mergeCell ref="A56:E56"/>
    <mergeCell ref="A4:E4"/>
    <mergeCell ref="A2:E2"/>
    <mergeCell ref="A25:E25"/>
    <mergeCell ref="A42:E42"/>
  </mergeCells>
  <dataValidations count="1">
    <dataValidation type="list" allowBlank="1" sqref="D4:D500" xr:uid="{00000000-0002-0000-0000-000000000000}">
      <formula1>"✅ OK,❌ NOK,⏳ Neptestat"</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2"/>
  <sheetViews>
    <sheetView showGridLines="0" workbookViewId="0">
      <selection sqref="A1:B1"/>
    </sheetView>
  </sheetViews>
  <sheetFormatPr defaultRowHeight="15" x14ac:dyDescent="0.25"/>
  <cols>
    <col min="1" max="1" width="30" customWidth="1"/>
    <col min="2" max="2" width="18" customWidth="1"/>
  </cols>
  <sheetData>
    <row r="1" spans="1:2" ht="32.1" customHeight="1" x14ac:dyDescent="0.25">
      <c r="A1" s="20" t="s">
        <v>155</v>
      </c>
      <c r="B1" s="17"/>
    </row>
    <row r="2" spans="1:2" ht="9.9499999999999993" customHeight="1" x14ac:dyDescent="0.25">
      <c r="A2" s="17"/>
      <c r="B2" s="17"/>
    </row>
    <row r="3" spans="1:2" ht="24" customHeight="1" x14ac:dyDescent="0.25">
      <c r="A3" s="8" t="s">
        <v>156</v>
      </c>
      <c r="B3" s="9">
        <v>70</v>
      </c>
    </row>
    <row r="4" spans="1:2" ht="24" customHeight="1" x14ac:dyDescent="0.25">
      <c r="A4" s="10" t="s">
        <v>157</v>
      </c>
      <c r="B4" s="11">
        <f>COUNTIF('Scenarii de Test'!D:D,"✅ OK")</f>
        <v>1</v>
      </c>
    </row>
    <row r="5" spans="1:2" ht="24" customHeight="1" x14ac:dyDescent="0.25">
      <c r="A5" s="12" t="s">
        <v>158</v>
      </c>
      <c r="B5" s="13">
        <f>COUNTIF('Scenarii de Test'!D:D,"❌ NOK")</f>
        <v>0</v>
      </c>
    </row>
    <row r="6" spans="1:2" ht="24" customHeight="1" x14ac:dyDescent="0.25">
      <c r="A6" s="14" t="s">
        <v>159</v>
      </c>
      <c r="B6" s="15">
        <f>COUNTIF('Scenarii de Test'!D:D,"⏳ Neptestat")</f>
        <v>69</v>
      </c>
    </row>
    <row r="8" spans="1:2" ht="15.95" customHeight="1" x14ac:dyDescent="0.25">
      <c r="A8" s="21" t="s">
        <v>160</v>
      </c>
      <c r="B8" s="17"/>
    </row>
    <row r="9" spans="1:2" ht="18" customHeight="1" x14ac:dyDescent="0.25">
      <c r="A9" s="19" t="s">
        <v>161</v>
      </c>
      <c r="B9" s="17"/>
    </row>
    <row r="10" spans="1:2" ht="18" customHeight="1" x14ac:dyDescent="0.25">
      <c r="A10" s="19" t="s">
        <v>162</v>
      </c>
      <c r="B10" s="17"/>
    </row>
    <row r="11" spans="1:2" ht="18" customHeight="1" x14ac:dyDescent="0.25">
      <c r="A11" s="19" t="s">
        <v>163</v>
      </c>
      <c r="B11" s="17"/>
    </row>
    <row r="12" spans="1:2" ht="18" customHeight="1" x14ac:dyDescent="0.25">
      <c r="A12" s="19" t="s">
        <v>164</v>
      </c>
      <c r="B12" s="17"/>
    </row>
  </sheetData>
  <mergeCells count="7">
    <mergeCell ref="A12:B12"/>
    <mergeCell ref="A2:B2"/>
    <mergeCell ref="A11:B11"/>
    <mergeCell ref="A10:B10"/>
    <mergeCell ref="A1:B1"/>
    <mergeCell ref="A9:B9"/>
    <mergeCell ref="A8:B8"/>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Scenarii de Test</vt:lpstr>
      <vt:lpstr>Sumar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Raluca Roman</cp:lastModifiedBy>
  <dcterms:created xsi:type="dcterms:W3CDTF">2026-04-11T20:21:36Z</dcterms:created>
  <dcterms:modified xsi:type="dcterms:W3CDTF">2026-04-15T14:12:50Z</dcterms:modified>
</cp:coreProperties>
</file>